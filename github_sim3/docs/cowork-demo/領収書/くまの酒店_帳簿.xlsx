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取引台帳" sheetId="1" state="visible" r:id="rId3"/>
    <sheet name="区分別集計" sheetId="2" state="visible" r:id="rId4"/>
    <sheet name="取引先別集計" sheetId="3" state="visible" r:id="rId5"/>
    <sheet name="月別推移" sheetId="4" state="visible" r:id="rId6"/>
    <sheet name="消費税集計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<sst xmlns="http://schemas.openxmlformats.org/spreadsheetml/2006/main" count="191" uniqueCount="104">
  <si>
    <t xml:space="preserve">くまの酒店 取引台帳</t>
  </si>
  <si>
    <r>
      <rPr>
        <i val="true"/>
        <sz val="10"/>
        <rFont val="DejaVu Sans"/>
        <family val="2"/>
      </rPr>
      <t xml:space="preserve">対象期間：</t>
    </r>
    <r>
      <rPr>
        <i val="true"/>
        <sz val="10"/>
        <rFont val="Arial"/>
        <family val="0"/>
        <charset val="1"/>
      </rPr>
      <t xml:space="preserve">2026</t>
    </r>
    <r>
      <rPr>
        <i val="true"/>
        <sz val="10"/>
        <rFont val="DejaVu Sans"/>
        <family val="2"/>
      </rPr>
      <t xml:space="preserve">年</t>
    </r>
    <r>
      <rPr>
        <i val="true"/>
        <sz val="10"/>
        <rFont val="Arial"/>
        <family val="0"/>
        <charset val="1"/>
      </rPr>
      <t xml:space="preserve">1</t>
    </r>
    <r>
      <rPr>
        <i val="true"/>
        <sz val="10"/>
        <rFont val="DejaVu Sans"/>
        <family val="2"/>
      </rPr>
      <t xml:space="preserve">月〜</t>
    </r>
    <r>
      <rPr>
        <i val="true"/>
        <sz val="10"/>
        <rFont val="Arial"/>
        <family val="0"/>
        <charset val="1"/>
      </rPr>
      <t xml:space="preserve">2</t>
    </r>
    <r>
      <rPr>
        <i val="true"/>
        <sz val="10"/>
        <rFont val="DejaVu Sans"/>
        <family val="2"/>
      </rPr>
      <t xml:space="preserve">月</t>
    </r>
  </si>
  <si>
    <t xml:space="preserve">No.</t>
  </si>
  <si>
    <t xml:space="preserve">日付</t>
  </si>
  <si>
    <t xml:space="preserve">伝票番号</t>
  </si>
  <si>
    <t xml:space="preserve">区分</t>
  </si>
  <si>
    <t xml:space="preserve">取引先</t>
  </si>
  <si>
    <t xml:space="preserve">摘要</t>
  </si>
  <si>
    <t xml:space="preserve">税抜金額</t>
  </si>
  <si>
    <t xml:space="preserve">消費税</t>
  </si>
  <si>
    <t xml:space="preserve">税込金額</t>
  </si>
  <si>
    <t xml:space="preserve">入金</t>
  </si>
  <si>
    <t xml:space="preserve">出金</t>
  </si>
  <si>
    <t xml:space="preserve">GS-2026-0412</t>
  </si>
  <si>
    <t xml:space="preserve">仕入</t>
  </si>
  <si>
    <t xml:space="preserve">月山酒造株式会社</t>
  </si>
  <si>
    <r>
      <rPr>
        <sz val="10"/>
        <rFont val="DejaVu Sans"/>
        <family val="2"/>
      </rPr>
      <t xml:space="preserve">日本酒各種仕入代金（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月分）</t>
    </r>
  </si>
  <si>
    <t xml:space="preserve">VT-26-0089</t>
  </si>
  <si>
    <t xml:space="preserve">株式会社ヴィノテラス</t>
  </si>
  <si>
    <t xml:space="preserve">輸入ワイン仕入代金</t>
  </si>
  <si>
    <t xml:space="preserve">-</t>
  </si>
  <si>
    <t xml:space="preserve">薩摩酒造株式会社</t>
  </si>
  <si>
    <r>
      <rPr>
        <sz val="10"/>
        <rFont val="DejaVu Sans"/>
        <family val="2"/>
      </rPr>
      <t xml:space="preserve">本格焼酎各種仕入代金（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月分）</t>
    </r>
  </si>
  <si>
    <t xml:space="preserve">SJ-260130-012</t>
  </si>
  <si>
    <t xml:space="preserve">スピリッツジャパン株式会社</t>
  </si>
  <si>
    <t xml:space="preserve">輸入ウイスキー仕入代金</t>
  </si>
  <si>
    <t xml:space="preserve">MZ-0261-0034</t>
  </si>
  <si>
    <t xml:space="preserve">丸善食品株式会社</t>
  </si>
  <si>
    <t xml:space="preserve">食品・おつまみ仕入代金</t>
  </si>
  <si>
    <t xml:space="preserve">HY-260201-078</t>
  </si>
  <si>
    <t xml:space="preserve">経費</t>
  </si>
  <si>
    <t xml:space="preserve">はやて運送株式会社</t>
  </si>
  <si>
    <r>
      <rPr>
        <sz val="10"/>
        <rFont val="DejaVu Sans"/>
        <family val="2"/>
      </rPr>
      <t xml:space="preserve">酒類配送運賃（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月分）</t>
    </r>
  </si>
  <si>
    <t xml:space="preserve">SFR-2026-02</t>
  </si>
  <si>
    <t xml:space="preserve">世田谷不動産管理株式会社</t>
  </si>
  <si>
    <r>
      <rPr>
        <sz val="10"/>
        <rFont val="DejaVu Sans"/>
        <family val="2"/>
      </rPr>
      <t xml:space="preserve">店舗賃料（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月分）</t>
    </r>
  </si>
  <si>
    <t xml:space="preserve">大和屋商店</t>
  </si>
  <si>
    <r>
      <rPr>
        <sz val="10"/>
        <rFont val="DejaVu Sans"/>
        <family val="2"/>
      </rPr>
      <t xml:space="preserve">ビール各種仕入代金（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月第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週分）</t>
    </r>
  </si>
  <si>
    <t xml:space="preserve">SP-2026-0189</t>
  </si>
  <si>
    <t xml:space="preserve">さくら印刷株式会社</t>
  </si>
  <si>
    <r>
      <rPr>
        <sz val="10"/>
        <rFont val="DejaVu Sans"/>
        <family val="2"/>
      </rPr>
      <t xml:space="preserve">新春セールチラシ印刷代金（</t>
    </r>
    <r>
      <rPr>
        <sz val="10"/>
        <rFont val="Arial"/>
        <family val="0"/>
        <charset val="1"/>
      </rPr>
      <t xml:space="preserve">5000</t>
    </r>
    <r>
      <rPr>
        <sz val="10"/>
        <rFont val="DejaVu Sans"/>
        <family val="2"/>
      </rPr>
      <t xml:space="preserve">部）</t>
    </r>
  </si>
  <si>
    <t xml:space="preserve">TB-2026-043</t>
  </si>
  <si>
    <r>
      <rPr>
        <sz val="10"/>
        <rFont val="Arial"/>
        <family val="0"/>
        <charset val="1"/>
      </rPr>
      <t xml:space="preserve">TOKYO</t>
    </r>
    <r>
      <rPr>
        <sz val="10"/>
        <rFont val="DejaVu Sans"/>
        <family val="2"/>
      </rPr>
      <t xml:space="preserve">ブルワリー株式会社</t>
    </r>
  </si>
  <si>
    <t xml:space="preserve">クラフトビール仕入代金</t>
  </si>
  <si>
    <t xml:space="preserve">KS-2026-0198</t>
  </si>
  <si>
    <t xml:space="preserve">販売</t>
  </si>
  <si>
    <t xml:space="preserve">居酒屋 鶴亀</t>
  </si>
  <si>
    <r>
      <rPr>
        <sz val="10"/>
        <rFont val="DejaVu Sans"/>
        <family val="2"/>
      </rPr>
      <t xml:space="preserve">酒類卸売代金（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月第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回納品分）</t>
    </r>
  </si>
  <si>
    <t xml:space="preserve">TG-26020501</t>
  </si>
  <si>
    <t xml:space="preserve">東洋ガラス販売株式会社</t>
  </si>
  <si>
    <t xml:space="preserve">酒器・グラス仕入代金</t>
  </si>
  <si>
    <t xml:space="preserve">KS-2026-0205</t>
  </si>
  <si>
    <t xml:space="preserve">焼鳥 とりまさ</t>
  </si>
  <si>
    <t xml:space="preserve">越後鶴亀酒造株式会社</t>
  </si>
  <si>
    <t xml:space="preserve">新潟地酒各種仕入代金</t>
  </si>
  <si>
    <t xml:space="preserve">No.4521</t>
  </si>
  <si>
    <t xml:space="preserve">個人客（店頭小売）</t>
  </si>
  <si>
    <t xml:space="preserve">店頭販売（獺祭・プレモル他）</t>
  </si>
  <si>
    <t xml:space="preserve">KS-2026-0210</t>
  </si>
  <si>
    <t xml:space="preserve">グランドホテル経堂</t>
  </si>
  <si>
    <t xml:space="preserve">宴会用酒類納品代金</t>
  </si>
  <si>
    <t xml:space="preserve">No.4587</t>
  </si>
  <si>
    <t xml:space="preserve">店頭販売（久保田・黒霧島他）</t>
  </si>
  <si>
    <t xml:space="preserve">KS-2026-0201</t>
  </si>
  <si>
    <t xml:space="preserve">マルト建設株式会社</t>
  </si>
  <si>
    <t xml:space="preserve">贈答用日本酒セット</t>
  </si>
  <si>
    <t xml:space="preserve">No.4602</t>
  </si>
  <si>
    <t xml:space="preserve">店頭販売（十四代・響 ギフト用）</t>
  </si>
  <si>
    <t xml:space="preserve">KS-2026-0215</t>
  </si>
  <si>
    <t xml:space="preserve">アニヴェルセル世田谷</t>
  </si>
  <si>
    <r>
      <rPr>
        <sz val="10"/>
        <rFont val="DejaVu Sans"/>
        <family val="2"/>
      </rPr>
      <t xml:space="preserve">披露宴用酒類納品代金（</t>
    </r>
    <r>
      <rPr>
        <sz val="10"/>
        <rFont val="Arial"/>
        <family val="0"/>
        <charset val="1"/>
      </rPr>
      <t xml:space="preserve">2/15</t>
    </r>
    <r>
      <rPr>
        <sz val="10"/>
        <rFont val="DejaVu Sans"/>
        <family val="2"/>
      </rPr>
      <t xml:space="preserve">挙式分）</t>
    </r>
  </si>
  <si>
    <t xml:space="preserve">合計</t>
  </si>
  <si>
    <t xml:space="preserve">区分別集計表</t>
  </si>
  <si>
    <t xml:space="preserve">件数</t>
  </si>
  <si>
    <t xml:space="preserve">税抜合計</t>
  </si>
  <si>
    <t xml:space="preserve">消費税合計</t>
  </si>
  <si>
    <t xml:space="preserve">税込合計</t>
  </si>
  <si>
    <t xml:space="preserve">構成比</t>
  </si>
  <si>
    <t xml:space="preserve">損益概要</t>
  </si>
  <si>
    <t xml:space="preserve">売上高（税抜）</t>
  </si>
  <si>
    <t xml:space="preserve">仕入原価（税抜）</t>
  </si>
  <si>
    <t xml:space="preserve">売上総利益（粗利）</t>
  </si>
  <si>
    <t xml:space="preserve">経費合計（税抜）</t>
  </si>
  <si>
    <t xml:space="preserve">営業利益</t>
  </si>
  <si>
    <t xml:space="preserve">粗利率</t>
  </si>
  <si>
    <t xml:space="preserve">営業利益率</t>
  </si>
  <si>
    <t xml:space="preserve">取引先別集計表</t>
  </si>
  <si>
    <t xml:space="preserve">取引回数</t>
  </si>
  <si>
    <t xml:space="preserve">備考</t>
  </si>
  <si>
    <t xml:space="preserve">月別推移表</t>
  </si>
  <si>
    <t xml:space="preserve">月</t>
  </si>
  <si>
    <t xml:space="preserve">仕入（税込）</t>
  </si>
  <si>
    <t xml:space="preserve">販売（税込）</t>
  </si>
  <si>
    <t xml:space="preserve">経費（税込）</t>
  </si>
  <si>
    <t xml:space="preserve">収支</t>
  </si>
  <si>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DejaVu Sans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月</t>
    </r>
  </si>
  <si>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DejaVu Sans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月</t>
    </r>
  </si>
  <si>
    <t xml:space="preserve">消費税集計表</t>
  </si>
  <si>
    <t xml:space="preserve">項目</t>
  </si>
  <si>
    <t xml:space="preserve">消費税額</t>
  </si>
  <si>
    <t xml:space="preserve">売上に係る消費税（仮受消費税）</t>
  </si>
  <si>
    <t xml:space="preserve">仕入に係る消費税（仮払消費税）</t>
  </si>
  <si>
    <t xml:space="preserve">経費に係る消費税（仮払消費税）</t>
  </si>
  <si>
    <t xml:space="preserve">消費税納付見込額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</si>
</sst>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#,##0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DejaVu Sans"/>
      <family val="2"/>
    </font>
    <font>
      <i val="true"/>
      <sz val="10"/>
      <name val="DejaVu Sans"/>
      <family val="2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sz val="10"/>
      <color rgb="FF0000FF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0"/>
      <name val="DejaVu Sans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CE4EC"/>
        <bgColor rgb="FFF5F5F5"/>
      </patternFill>
    </fill>
    <fill>
      <patternFill patternType="solid">
        <fgColor rgb="FFE2EFDA"/>
        <bgColor rgb="FFD6E4F0"/>
      </patternFill>
    </fill>
    <fill>
      <patternFill patternType="solid">
        <fgColor rgb="FF548235"/>
        <bgColor rgb="FF339966"/>
      </patternFill>
    </fill>
    <fill>
      <patternFill patternType="solid">
        <fgColor rgb="FFD6E4F0"/>
        <bgColor rgb="FFE2EFDA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F5F5F5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1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false" outlineLevel="0" collapsed="false">
      <c r="A5" s="5" t="n">
        <v>1</v>
      </c>
      <c r="B5" s="6" t="n">
        <v>46042</v>
      </c>
      <c r="C5" s="7" t="s">
        <v>13</v>
      </c>
      <c r="D5" s="8" t="s">
        <v>14</v>
      </c>
      <c r="E5" s="9" t="s">
        <v>15</v>
      </c>
      <c r="F5" s="9" t="s">
        <v>16</v>
      </c>
      <c r="G5" s="10" t="n">
        <v>150000</v>
      </c>
      <c r="H5" s="10" t="n">
        <v>15000</v>
      </c>
      <c r="I5" s="10" t="n">
        <v>165000</v>
      </c>
      <c r="J5" s="7"/>
      <c r="K5" s="11" t="n">
        <v>165000</v>
      </c>
    </row>
    <row r="6" customFormat="false" ht="15" hidden="false" customHeight="false" outlineLevel="0" collapsed="false">
      <c r="A6" s="12" t="n">
        <v>2</v>
      </c>
      <c r="B6" s="13" t="n">
        <v>46047</v>
      </c>
      <c r="C6" s="14" t="s">
        <v>17</v>
      </c>
      <c r="D6" s="8" t="s">
        <v>14</v>
      </c>
      <c r="E6" s="15" t="s">
        <v>18</v>
      </c>
      <c r="F6" s="15" t="s">
        <v>19</v>
      </c>
      <c r="G6" s="16" t="n">
        <v>210000</v>
      </c>
      <c r="H6" s="16" t="n">
        <v>21000</v>
      </c>
      <c r="I6" s="16" t="n">
        <v>231000</v>
      </c>
      <c r="J6" s="14"/>
      <c r="K6" s="17" t="n">
        <v>231000</v>
      </c>
    </row>
    <row r="7" customFormat="false" ht="15" hidden="false" customHeight="false" outlineLevel="0" collapsed="false">
      <c r="A7" s="5" t="n">
        <v>3</v>
      </c>
      <c r="B7" s="6" t="n">
        <v>46050</v>
      </c>
      <c r="C7" s="7" t="s">
        <v>20</v>
      </c>
      <c r="D7" s="8" t="s">
        <v>14</v>
      </c>
      <c r="E7" s="9" t="s">
        <v>21</v>
      </c>
      <c r="F7" s="9" t="s">
        <v>22</v>
      </c>
      <c r="G7" s="10" t="n">
        <v>100000</v>
      </c>
      <c r="H7" s="10" t="n">
        <v>10000</v>
      </c>
      <c r="I7" s="10" t="n">
        <v>110000</v>
      </c>
      <c r="J7" s="7"/>
      <c r="K7" s="11" t="n">
        <v>110000</v>
      </c>
    </row>
    <row r="8" customFormat="false" ht="15" hidden="false" customHeight="false" outlineLevel="0" collapsed="false">
      <c r="A8" s="12" t="n">
        <v>4</v>
      </c>
      <c r="B8" s="13" t="n">
        <v>46052</v>
      </c>
      <c r="C8" s="14" t="s">
        <v>23</v>
      </c>
      <c r="D8" s="8" t="s">
        <v>14</v>
      </c>
      <c r="E8" s="15" t="s">
        <v>24</v>
      </c>
      <c r="F8" s="15" t="s">
        <v>25</v>
      </c>
      <c r="G8" s="16" t="n">
        <v>180000</v>
      </c>
      <c r="H8" s="16" t="n">
        <v>18000</v>
      </c>
      <c r="I8" s="16" t="n">
        <v>198000</v>
      </c>
      <c r="J8" s="14"/>
      <c r="K8" s="17" t="n">
        <v>198000</v>
      </c>
    </row>
    <row r="9" customFormat="false" ht="15" hidden="false" customHeight="false" outlineLevel="0" collapsed="false">
      <c r="A9" s="5" t="n">
        <v>5</v>
      </c>
      <c r="B9" s="6" t="n">
        <v>46054</v>
      </c>
      <c r="C9" s="7" t="s">
        <v>26</v>
      </c>
      <c r="D9" s="8" t="s">
        <v>14</v>
      </c>
      <c r="E9" s="9" t="s">
        <v>27</v>
      </c>
      <c r="F9" s="9" t="s">
        <v>28</v>
      </c>
      <c r="G9" s="10" t="n">
        <v>39800</v>
      </c>
      <c r="H9" s="10" t="n">
        <v>3980</v>
      </c>
      <c r="I9" s="10" t="n">
        <v>43780</v>
      </c>
      <c r="J9" s="7"/>
      <c r="K9" s="11" t="n">
        <v>43780</v>
      </c>
    </row>
    <row r="10" customFormat="false" ht="15" hidden="false" customHeight="false" outlineLevel="0" collapsed="false">
      <c r="A10" s="12" t="n">
        <v>6</v>
      </c>
      <c r="B10" s="13" t="n">
        <v>46054</v>
      </c>
      <c r="C10" s="14" t="s">
        <v>29</v>
      </c>
      <c r="D10" s="18" t="s">
        <v>30</v>
      </c>
      <c r="E10" s="15" t="s">
        <v>31</v>
      </c>
      <c r="F10" s="15" t="s">
        <v>32</v>
      </c>
      <c r="G10" s="16" t="n">
        <v>30000</v>
      </c>
      <c r="H10" s="16" t="n">
        <v>3000</v>
      </c>
      <c r="I10" s="16" t="n">
        <v>33000</v>
      </c>
      <c r="J10" s="14"/>
      <c r="K10" s="17" t="n">
        <v>33000</v>
      </c>
    </row>
    <row r="11" customFormat="false" ht="15" hidden="false" customHeight="false" outlineLevel="0" collapsed="false">
      <c r="A11" s="5" t="n">
        <v>7</v>
      </c>
      <c r="B11" s="6" t="n">
        <v>46054</v>
      </c>
      <c r="C11" s="7" t="s">
        <v>33</v>
      </c>
      <c r="D11" s="18" t="s">
        <v>30</v>
      </c>
      <c r="E11" s="9" t="s">
        <v>34</v>
      </c>
      <c r="F11" s="9" t="s">
        <v>35</v>
      </c>
      <c r="G11" s="10" t="n">
        <v>200000</v>
      </c>
      <c r="H11" s="10" t="n">
        <v>20000</v>
      </c>
      <c r="I11" s="10" t="n">
        <v>220000</v>
      </c>
      <c r="J11" s="7"/>
      <c r="K11" s="11" t="n">
        <v>220000</v>
      </c>
    </row>
    <row r="12" customFormat="false" ht="15" hidden="false" customHeight="false" outlineLevel="0" collapsed="false">
      <c r="A12" s="12" t="n">
        <v>8</v>
      </c>
      <c r="B12" s="13" t="n">
        <v>46056</v>
      </c>
      <c r="C12" s="14" t="s">
        <v>20</v>
      </c>
      <c r="D12" s="8" t="s">
        <v>14</v>
      </c>
      <c r="E12" s="15" t="s">
        <v>36</v>
      </c>
      <c r="F12" s="15" t="s">
        <v>37</v>
      </c>
      <c r="G12" s="16" t="n">
        <v>80000</v>
      </c>
      <c r="H12" s="16" t="n">
        <v>8000</v>
      </c>
      <c r="I12" s="16" t="n">
        <v>88000</v>
      </c>
      <c r="J12" s="14"/>
      <c r="K12" s="17" t="n">
        <v>88000</v>
      </c>
    </row>
    <row r="13" customFormat="false" ht="15" hidden="false" customHeight="false" outlineLevel="0" collapsed="false">
      <c r="A13" s="5" t="n">
        <v>9</v>
      </c>
      <c r="B13" s="6" t="n">
        <v>46056</v>
      </c>
      <c r="C13" s="7" t="s">
        <v>38</v>
      </c>
      <c r="D13" s="18" t="s">
        <v>30</v>
      </c>
      <c r="E13" s="9" t="s">
        <v>39</v>
      </c>
      <c r="F13" s="9" t="s">
        <v>40</v>
      </c>
      <c r="G13" s="10" t="n">
        <v>40000</v>
      </c>
      <c r="H13" s="10" t="n">
        <v>4000</v>
      </c>
      <c r="I13" s="10" t="n">
        <v>44000</v>
      </c>
      <c r="J13" s="7"/>
      <c r="K13" s="11" t="n">
        <v>44000</v>
      </c>
    </row>
    <row r="14" customFormat="false" ht="15" hidden="false" customHeight="false" outlineLevel="0" collapsed="false">
      <c r="A14" s="12" t="n">
        <v>10</v>
      </c>
      <c r="B14" s="13" t="n">
        <v>46057</v>
      </c>
      <c r="C14" s="14" t="s">
        <v>41</v>
      </c>
      <c r="D14" s="8" t="s">
        <v>14</v>
      </c>
      <c r="E14" s="14" t="s">
        <v>42</v>
      </c>
      <c r="F14" s="15" t="s">
        <v>43</v>
      </c>
      <c r="G14" s="16" t="n">
        <v>72000</v>
      </c>
      <c r="H14" s="16" t="n">
        <v>7200</v>
      </c>
      <c r="I14" s="16" t="n">
        <v>79200</v>
      </c>
      <c r="J14" s="14"/>
      <c r="K14" s="17" t="n">
        <v>79200</v>
      </c>
    </row>
    <row r="15" customFormat="false" ht="15" hidden="false" customHeight="false" outlineLevel="0" collapsed="false">
      <c r="A15" s="5" t="n">
        <v>11</v>
      </c>
      <c r="B15" s="6" t="n">
        <v>46058</v>
      </c>
      <c r="C15" s="7" t="s">
        <v>44</v>
      </c>
      <c r="D15" s="19" t="s">
        <v>45</v>
      </c>
      <c r="E15" s="9" t="s">
        <v>46</v>
      </c>
      <c r="F15" s="9" t="s">
        <v>47</v>
      </c>
      <c r="G15" s="10" t="n">
        <v>115000</v>
      </c>
      <c r="H15" s="10" t="n">
        <v>11500</v>
      </c>
      <c r="I15" s="10" t="n">
        <v>126500</v>
      </c>
      <c r="J15" s="11" t="n">
        <v>126500</v>
      </c>
      <c r="K15" s="7"/>
    </row>
    <row r="16" customFormat="false" ht="15" hidden="false" customHeight="false" outlineLevel="0" collapsed="false">
      <c r="A16" s="12" t="n">
        <v>12</v>
      </c>
      <c r="B16" s="13" t="n">
        <v>46058</v>
      </c>
      <c r="C16" s="14" t="s">
        <v>48</v>
      </c>
      <c r="D16" s="8" t="s">
        <v>14</v>
      </c>
      <c r="E16" s="15" t="s">
        <v>49</v>
      </c>
      <c r="F16" s="15" t="s">
        <v>50</v>
      </c>
      <c r="G16" s="16" t="n">
        <v>32000</v>
      </c>
      <c r="H16" s="16" t="n">
        <v>3200</v>
      </c>
      <c r="I16" s="16" t="n">
        <v>35200</v>
      </c>
      <c r="J16" s="14"/>
      <c r="K16" s="17" t="n">
        <v>35200</v>
      </c>
    </row>
    <row r="17" customFormat="false" ht="15" hidden="false" customHeight="false" outlineLevel="0" collapsed="false">
      <c r="A17" s="5" t="n">
        <v>13</v>
      </c>
      <c r="B17" s="6" t="n">
        <v>46059</v>
      </c>
      <c r="C17" s="7" t="s">
        <v>51</v>
      </c>
      <c r="D17" s="19" t="s">
        <v>45</v>
      </c>
      <c r="E17" s="9" t="s">
        <v>52</v>
      </c>
      <c r="F17" s="9" t="s">
        <v>47</v>
      </c>
      <c r="G17" s="10" t="n">
        <v>62000</v>
      </c>
      <c r="H17" s="10" t="n">
        <v>6200</v>
      </c>
      <c r="I17" s="10" t="n">
        <v>68200</v>
      </c>
      <c r="J17" s="11" t="n">
        <v>68200</v>
      </c>
      <c r="K17" s="7"/>
    </row>
    <row r="18" customFormat="false" ht="15" hidden="false" customHeight="false" outlineLevel="0" collapsed="false">
      <c r="A18" s="12" t="n">
        <v>14</v>
      </c>
      <c r="B18" s="13" t="n">
        <v>46060</v>
      </c>
      <c r="C18" s="14" t="s">
        <v>20</v>
      </c>
      <c r="D18" s="8" t="s">
        <v>14</v>
      </c>
      <c r="E18" s="15" t="s">
        <v>53</v>
      </c>
      <c r="F18" s="15" t="s">
        <v>54</v>
      </c>
      <c r="G18" s="16" t="n">
        <v>120000</v>
      </c>
      <c r="H18" s="16" t="n">
        <v>12000</v>
      </c>
      <c r="I18" s="16" t="n">
        <v>132000</v>
      </c>
      <c r="J18" s="14"/>
      <c r="K18" s="17" t="n">
        <v>132000</v>
      </c>
    </row>
    <row r="19" customFormat="false" ht="15" hidden="false" customHeight="false" outlineLevel="0" collapsed="false">
      <c r="A19" s="5" t="n">
        <v>15</v>
      </c>
      <c r="B19" s="6" t="n">
        <v>46061</v>
      </c>
      <c r="C19" s="7" t="s">
        <v>55</v>
      </c>
      <c r="D19" s="19" t="s">
        <v>45</v>
      </c>
      <c r="E19" s="9" t="s">
        <v>56</v>
      </c>
      <c r="F19" s="9" t="s">
        <v>57</v>
      </c>
      <c r="G19" s="10" t="n">
        <v>6500</v>
      </c>
      <c r="H19" s="10" t="n">
        <v>650</v>
      </c>
      <c r="I19" s="10" t="n">
        <v>7150</v>
      </c>
      <c r="J19" s="11" t="n">
        <v>7150</v>
      </c>
      <c r="K19" s="7"/>
    </row>
    <row r="20" customFormat="false" ht="15" hidden="false" customHeight="false" outlineLevel="0" collapsed="false">
      <c r="A20" s="12" t="n">
        <v>16</v>
      </c>
      <c r="B20" s="13" t="n">
        <v>46061</v>
      </c>
      <c r="C20" s="14" t="s">
        <v>58</v>
      </c>
      <c r="D20" s="19" t="s">
        <v>45</v>
      </c>
      <c r="E20" s="15" t="s">
        <v>59</v>
      </c>
      <c r="F20" s="15" t="s">
        <v>60</v>
      </c>
      <c r="G20" s="16" t="n">
        <v>230000</v>
      </c>
      <c r="H20" s="16" t="n">
        <v>23000</v>
      </c>
      <c r="I20" s="16" t="n">
        <v>253000</v>
      </c>
      <c r="J20" s="17" t="n">
        <v>253000</v>
      </c>
      <c r="K20" s="14"/>
    </row>
    <row r="21" customFormat="false" ht="15" hidden="false" customHeight="false" outlineLevel="0" collapsed="false">
      <c r="A21" s="5" t="n">
        <v>17</v>
      </c>
      <c r="B21" s="6" t="n">
        <v>46062</v>
      </c>
      <c r="C21" s="7" t="s">
        <v>61</v>
      </c>
      <c r="D21" s="19" t="s">
        <v>45</v>
      </c>
      <c r="E21" s="9" t="s">
        <v>56</v>
      </c>
      <c r="F21" s="9" t="s">
        <v>62</v>
      </c>
      <c r="G21" s="10" t="n">
        <v>11300</v>
      </c>
      <c r="H21" s="10" t="n">
        <v>1130</v>
      </c>
      <c r="I21" s="10" t="n">
        <v>12430</v>
      </c>
      <c r="J21" s="11" t="n">
        <v>12430</v>
      </c>
      <c r="K21" s="7"/>
    </row>
    <row r="22" customFormat="false" ht="15" hidden="false" customHeight="false" outlineLevel="0" collapsed="false">
      <c r="A22" s="12" t="n">
        <v>18</v>
      </c>
      <c r="B22" s="13" t="n">
        <v>46063</v>
      </c>
      <c r="C22" s="14" t="s">
        <v>63</v>
      </c>
      <c r="D22" s="19" t="s">
        <v>45</v>
      </c>
      <c r="E22" s="15" t="s">
        <v>64</v>
      </c>
      <c r="F22" s="15" t="s">
        <v>65</v>
      </c>
      <c r="G22" s="16" t="n">
        <v>50000</v>
      </c>
      <c r="H22" s="16" t="n">
        <v>5000</v>
      </c>
      <c r="I22" s="16" t="n">
        <v>55000</v>
      </c>
      <c r="J22" s="17" t="n">
        <v>55000</v>
      </c>
      <c r="K22" s="14"/>
    </row>
    <row r="23" customFormat="false" ht="15" hidden="false" customHeight="false" outlineLevel="0" collapsed="false">
      <c r="A23" s="5" t="n">
        <v>19</v>
      </c>
      <c r="B23" s="6" t="n">
        <v>46064</v>
      </c>
      <c r="C23" s="7" t="s">
        <v>66</v>
      </c>
      <c r="D23" s="19" t="s">
        <v>45</v>
      </c>
      <c r="E23" s="9" t="s">
        <v>56</v>
      </c>
      <c r="F23" s="9" t="s">
        <v>67</v>
      </c>
      <c r="G23" s="10" t="n">
        <v>20800</v>
      </c>
      <c r="H23" s="10" t="n">
        <v>2080</v>
      </c>
      <c r="I23" s="10" t="n">
        <v>22880</v>
      </c>
      <c r="J23" s="11" t="n">
        <v>22880</v>
      </c>
      <c r="K23" s="7"/>
    </row>
    <row r="24" customFormat="false" ht="15" hidden="false" customHeight="false" outlineLevel="0" collapsed="false">
      <c r="A24" s="12" t="n">
        <v>20</v>
      </c>
      <c r="B24" s="13" t="n">
        <v>46065</v>
      </c>
      <c r="C24" s="14" t="s">
        <v>68</v>
      </c>
      <c r="D24" s="19" t="s">
        <v>45</v>
      </c>
      <c r="E24" s="15" t="s">
        <v>69</v>
      </c>
      <c r="F24" s="15" t="s">
        <v>70</v>
      </c>
      <c r="G24" s="16" t="n">
        <v>170000</v>
      </c>
      <c r="H24" s="16" t="n">
        <v>17000</v>
      </c>
      <c r="I24" s="16" t="n">
        <v>187000</v>
      </c>
      <c r="J24" s="17" t="n">
        <v>187000</v>
      </c>
      <c r="K24" s="14"/>
    </row>
    <row r="25" customFormat="false" ht="15" hidden="false" customHeight="false" outlineLevel="0" collapsed="false">
      <c r="A25" s="20" t="s">
        <v>71</v>
      </c>
      <c r="B25" s="20"/>
      <c r="C25" s="20"/>
      <c r="D25" s="20"/>
      <c r="E25" s="20"/>
      <c r="F25" s="20"/>
      <c r="G25" s="21" t="n">
        <f aca="false">SUM(G5:G24)</f>
        <v>1919400</v>
      </c>
      <c r="H25" s="21" t="n">
        <f aca="false">SUM(H5:H24)</f>
        <v>191940</v>
      </c>
      <c r="I25" s="21" t="n">
        <f aca="false">SUM(I5:I24)</f>
        <v>2111340</v>
      </c>
      <c r="J25" s="21" t="n">
        <f aca="false">SUM(J5:J24)</f>
        <v>732160</v>
      </c>
      <c r="K25" s="21" t="n">
        <f aca="false">SUM(K5:K24)</f>
        <v>1379180</v>
      </c>
    </row>
  </sheetData>
  <mergeCells count="3">
    <mergeCell ref="A1:K1"/>
    <mergeCell ref="A2:K2"/>
    <mergeCell ref="A25:F2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30" hidden="false" customHeight="true" outlineLevel="0" collapsed="false">
      <c r="A1" s="22" t="s">
        <v>72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23" t="s">
        <v>5</v>
      </c>
      <c r="B3" s="23" t="s">
        <v>73</v>
      </c>
      <c r="C3" s="23" t="s">
        <v>74</v>
      </c>
      <c r="D3" s="23" t="s">
        <v>75</v>
      </c>
      <c r="E3" s="23" t="s">
        <v>76</v>
      </c>
      <c r="F3" s="23" t="s">
        <v>77</v>
      </c>
    </row>
    <row r="4" customFormat="false" ht="15" hidden="false" customHeight="false" outlineLevel="0" collapsed="false">
      <c r="A4" s="24" t="s">
        <v>14</v>
      </c>
      <c r="B4" s="25" t="n">
        <f aca="false">COUNTIF(取引台帳!D5:D24,"仕入")</f>
        <v>9</v>
      </c>
      <c r="C4" s="26" t="n">
        <f aca="false">SUMIF(取引台帳!D5:D24,"仕入",取引台帳!G5:G24)</f>
        <v>983800</v>
      </c>
      <c r="D4" s="26" t="n">
        <f aca="false">SUMIF(取引台帳!D5:D24,"仕入",取引台帳!H5:H24)</f>
        <v>98380</v>
      </c>
      <c r="E4" s="26" t="n">
        <f aca="false">SUMIF(取引台帳!D5:D24,"仕入",取引台帳!I5:I24)</f>
        <v>1082180</v>
      </c>
      <c r="F4" s="27" t="n">
        <f aca="false">E4/E7</f>
        <v>0.512556007085548</v>
      </c>
    </row>
    <row r="5" customFormat="false" ht="15" hidden="false" customHeight="false" outlineLevel="0" collapsed="false">
      <c r="A5" s="28" t="s">
        <v>45</v>
      </c>
      <c r="B5" s="25" t="n">
        <f aca="false">COUNTIF(取引台帳!D5:D24,"販売")</f>
        <v>8</v>
      </c>
      <c r="C5" s="26" t="n">
        <f aca="false">SUMIF(取引台帳!D5:D24,"販売",取引台帳!G5:G24)</f>
        <v>665600</v>
      </c>
      <c r="D5" s="26" t="n">
        <f aca="false">SUMIF(取引台帳!D5:D24,"販売",取引台帳!H5:H24)</f>
        <v>66560</v>
      </c>
      <c r="E5" s="26" t="n">
        <f aca="false">SUMIF(取引台帳!D5:D24,"販売",取引台帳!I5:I24)</f>
        <v>732160</v>
      </c>
      <c r="F5" s="27" t="n">
        <f aca="false">E5/E7</f>
        <v>0.346775033864749</v>
      </c>
    </row>
    <row r="6" customFormat="false" ht="15" hidden="false" customHeight="false" outlineLevel="0" collapsed="false">
      <c r="A6" s="29" t="s">
        <v>30</v>
      </c>
      <c r="B6" s="25" t="n">
        <f aca="false">COUNTIF(取引台帳!D5:D24,"経費")</f>
        <v>3</v>
      </c>
      <c r="C6" s="26" t="n">
        <f aca="false">SUMIF(取引台帳!D5:D24,"経費",取引台帳!G5:G24)</f>
        <v>270000</v>
      </c>
      <c r="D6" s="26" t="n">
        <f aca="false">SUMIF(取引台帳!D5:D24,"経費",取引台帳!H5:H24)</f>
        <v>27000</v>
      </c>
      <c r="E6" s="26" t="n">
        <f aca="false">SUMIF(取引台帳!D5:D24,"経費",取引台帳!I5:I24)</f>
        <v>297000</v>
      </c>
      <c r="F6" s="27" t="n">
        <f aca="false">E6/E7</f>
        <v>0.140668959049703</v>
      </c>
    </row>
    <row r="7" customFormat="false" ht="15" hidden="false" customHeight="false" outlineLevel="0" collapsed="false">
      <c r="A7" s="30" t="s">
        <v>71</v>
      </c>
      <c r="B7" s="21" t="n">
        <f aca="false">SUM(B4:B6)</f>
        <v>20</v>
      </c>
      <c r="C7" s="21" t="n">
        <f aca="false">SUM(C4:C6)</f>
        <v>1919400</v>
      </c>
      <c r="D7" s="21" t="n">
        <f aca="false">SUM(D4:D6)</f>
        <v>191940</v>
      </c>
      <c r="E7" s="21" t="n">
        <f aca="false">SUM(E4:E6)</f>
        <v>2111340</v>
      </c>
      <c r="F7" s="31" t="n">
        <v>1</v>
      </c>
    </row>
    <row r="9" customFormat="false" ht="15" hidden="false" customHeight="false" outlineLevel="0" collapsed="false">
      <c r="A9" s="32" t="s">
        <v>78</v>
      </c>
      <c r="B9" s="32"/>
      <c r="C9" s="32"/>
      <c r="D9" s="32"/>
      <c r="E9" s="32"/>
      <c r="F9" s="32"/>
    </row>
    <row r="10" customFormat="false" ht="15" hidden="false" customHeight="false" outlineLevel="0" collapsed="false">
      <c r="A10" s="33" t="s">
        <v>79</v>
      </c>
      <c r="B10" s="26" t="n">
        <f aca="false">C5</f>
        <v>665600</v>
      </c>
    </row>
    <row r="11" customFormat="false" ht="15" hidden="false" customHeight="false" outlineLevel="0" collapsed="false">
      <c r="A11" s="33" t="s">
        <v>80</v>
      </c>
      <c r="B11" s="26" t="n">
        <f aca="false">C4</f>
        <v>983800</v>
      </c>
    </row>
    <row r="12" customFormat="false" ht="15" hidden="false" customHeight="false" outlineLevel="0" collapsed="false">
      <c r="A12" s="33" t="s">
        <v>81</v>
      </c>
      <c r="B12" s="26" t="n">
        <f aca="false">B10-B11</f>
        <v>-318200</v>
      </c>
    </row>
    <row r="13" customFormat="false" ht="15" hidden="false" customHeight="false" outlineLevel="0" collapsed="false">
      <c r="A13" s="33" t="s">
        <v>82</v>
      </c>
      <c r="B13" s="26" t="n">
        <f aca="false">C6</f>
        <v>270000</v>
      </c>
    </row>
    <row r="14" customFormat="false" ht="15" hidden="false" customHeight="false" outlineLevel="0" collapsed="false">
      <c r="A14" s="34" t="s">
        <v>83</v>
      </c>
      <c r="B14" s="35" t="n">
        <f aca="false">B12-B13</f>
        <v>-588200</v>
      </c>
    </row>
    <row r="16" customFormat="false" ht="15" hidden="false" customHeight="false" outlineLevel="0" collapsed="false">
      <c r="A16" s="33" t="s">
        <v>84</v>
      </c>
      <c r="B16" s="27" t="n">
        <f aca="false">IF(B10=0,0,B12/B10)</f>
        <v>-0.478064903846154</v>
      </c>
    </row>
    <row r="17" customFormat="false" ht="15" hidden="false" customHeight="false" outlineLevel="0" collapsed="false">
      <c r="A17" s="33" t="s">
        <v>85</v>
      </c>
      <c r="B17" s="27" t="n">
        <f aca="false">IF(B10=0,0,B14/B10)</f>
        <v>-0.883713942307692</v>
      </c>
    </row>
  </sheetData>
  <mergeCells count="2">
    <mergeCell ref="A1:F1"/>
    <mergeCell ref="A9:F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30" hidden="false" customHeight="true" outlineLevel="0" collapsed="false">
      <c r="A1" s="22" t="s">
        <v>86</v>
      </c>
      <c r="B1" s="22"/>
      <c r="C1" s="22"/>
      <c r="D1" s="22"/>
      <c r="E1" s="22"/>
    </row>
    <row r="3" customFormat="false" ht="15" hidden="false" customHeight="false" outlineLevel="0" collapsed="false">
      <c r="A3" s="36" t="s">
        <v>6</v>
      </c>
      <c r="B3" s="36" t="s">
        <v>5</v>
      </c>
      <c r="C3" s="36" t="s">
        <v>87</v>
      </c>
      <c r="D3" s="36" t="s">
        <v>76</v>
      </c>
      <c r="E3" s="36" t="s">
        <v>88</v>
      </c>
    </row>
    <row r="4" customFormat="false" ht="15" hidden="false" customHeight="false" outlineLevel="0" collapsed="false">
      <c r="A4" s="9" t="s">
        <v>18</v>
      </c>
      <c r="B4" s="8" t="s">
        <v>14</v>
      </c>
      <c r="C4" s="5" t="n">
        <v>1</v>
      </c>
      <c r="D4" s="10" t="n">
        <v>231000</v>
      </c>
      <c r="E4" s="9" t="s">
        <v>19</v>
      </c>
    </row>
    <row r="5" customFormat="false" ht="15" hidden="false" customHeight="false" outlineLevel="0" collapsed="false">
      <c r="A5" s="15" t="s">
        <v>24</v>
      </c>
      <c r="B5" s="8" t="s">
        <v>14</v>
      </c>
      <c r="C5" s="12" t="n">
        <v>1</v>
      </c>
      <c r="D5" s="16" t="n">
        <v>198000</v>
      </c>
      <c r="E5" s="15" t="s">
        <v>25</v>
      </c>
    </row>
    <row r="6" customFormat="false" ht="15" hidden="false" customHeight="false" outlineLevel="0" collapsed="false">
      <c r="A6" s="9" t="s">
        <v>15</v>
      </c>
      <c r="B6" s="8" t="s">
        <v>14</v>
      </c>
      <c r="C6" s="5" t="n">
        <v>1</v>
      </c>
      <c r="D6" s="10" t="n">
        <v>165000</v>
      </c>
      <c r="E6" s="9" t="s">
        <v>16</v>
      </c>
    </row>
    <row r="7" customFormat="false" ht="15" hidden="false" customHeight="false" outlineLevel="0" collapsed="false">
      <c r="A7" s="15" t="s">
        <v>53</v>
      </c>
      <c r="B7" s="8" t="s">
        <v>14</v>
      </c>
      <c r="C7" s="12" t="n">
        <v>1</v>
      </c>
      <c r="D7" s="16" t="n">
        <v>132000</v>
      </c>
      <c r="E7" s="15" t="s">
        <v>54</v>
      </c>
    </row>
    <row r="8" customFormat="false" ht="15" hidden="false" customHeight="false" outlineLevel="0" collapsed="false">
      <c r="A8" s="9" t="s">
        <v>21</v>
      </c>
      <c r="B8" s="8" t="s">
        <v>14</v>
      </c>
      <c r="C8" s="5" t="n">
        <v>1</v>
      </c>
      <c r="D8" s="10" t="n">
        <v>110000</v>
      </c>
      <c r="E8" s="9" t="s">
        <v>22</v>
      </c>
    </row>
    <row r="9" customFormat="false" ht="15" hidden="false" customHeight="false" outlineLevel="0" collapsed="false">
      <c r="A9" s="15" t="s">
        <v>36</v>
      </c>
      <c r="B9" s="8" t="s">
        <v>14</v>
      </c>
      <c r="C9" s="12" t="n">
        <v>1</v>
      </c>
      <c r="D9" s="16" t="n">
        <v>88000</v>
      </c>
      <c r="E9" s="15" t="s">
        <v>37</v>
      </c>
    </row>
    <row r="10" customFormat="false" ht="15" hidden="false" customHeight="false" outlineLevel="0" collapsed="false">
      <c r="A10" s="7" t="s">
        <v>42</v>
      </c>
      <c r="B10" s="8" t="s">
        <v>14</v>
      </c>
      <c r="C10" s="5" t="n">
        <v>1</v>
      </c>
      <c r="D10" s="10" t="n">
        <v>79200</v>
      </c>
      <c r="E10" s="9" t="s">
        <v>43</v>
      </c>
    </row>
    <row r="11" customFormat="false" ht="15" hidden="false" customHeight="false" outlineLevel="0" collapsed="false">
      <c r="A11" s="15" t="s">
        <v>27</v>
      </c>
      <c r="B11" s="8" t="s">
        <v>14</v>
      </c>
      <c r="C11" s="12" t="n">
        <v>1</v>
      </c>
      <c r="D11" s="16" t="n">
        <v>43780</v>
      </c>
      <c r="E11" s="15" t="s">
        <v>28</v>
      </c>
    </row>
    <row r="12" customFormat="false" ht="15" hidden="false" customHeight="false" outlineLevel="0" collapsed="false">
      <c r="A12" s="9" t="s">
        <v>49</v>
      </c>
      <c r="B12" s="8" t="s">
        <v>14</v>
      </c>
      <c r="C12" s="5" t="n">
        <v>1</v>
      </c>
      <c r="D12" s="10" t="n">
        <v>35200</v>
      </c>
      <c r="E12" s="9" t="s">
        <v>50</v>
      </c>
    </row>
    <row r="13" customFormat="false" ht="15" hidden="false" customHeight="false" outlineLevel="0" collapsed="false">
      <c r="A13" s="15" t="s">
        <v>59</v>
      </c>
      <c r="B13" s="19" t="s">
        <v>45</v>
      </c>
      <c r="C13" s="12" t="n">
        <v>1</v>
      </c>
      <c r="D13" s="16" t="n">
        <v>253000</v>
      </c>
      <c r="E13" s="15" t="s">
        <v>60</v>
      </c>
    </row>
    <row r="14" customFormat="false" ht="15" hidden="false" customHeight="false" outlineLevel="0" collapsed="false">
      <c r="A14" s="9" t="s">
        <v>69</v>
      </c>
      <c r="B14" s="19" t="s">
        <v>45</v>
      </c>
      <c r="C14" s="5" t="n">
        <v>1</v>
      </c>
      <c r="D14" s="10" t="n">
        <v>187000</v>
      </c>
      <c r="E14" s="9" t="s">
        <v>70</v>
      </c>
    </row>
    <row r="15" customFormat="false" ht="15" hidden="false" customHeight="false" outlineLevel="0" collapsed="false">
      <c r="A15" s="15" t="s">
        <v>46</v>
      </c>
      <c r="B15" s="19" t="s">
        <v>45</v>
      </c>
      <c r="C15" s="12" t="n">
        <v>1</v>
      </c>
      <c r="D15" s="16" t="n">
        <v>126500</v>
      </c>
      <c r="E15" s="15" t="s">
        <v>47</v>
      </c>
    </row>
    <row r="16" customFormat="false" ht="15" hidden="false" customHeight="false" outlineLevel="0" collapsed="false">
      <c r="A16" s="9" t="s">
        <v>52</v>
      </c>
      <c r="B16" s="19" t="s">
        <v>45</v>
      </c>
      <c r="C16" s="5" t="n">
        <v>1</v>
      </c>
      <c r="D16" s="10" t="n">
        <v>68200</v>
      </c>
      <c r="E16" s="9" t="s">
        <v>47</v>
      </c>
    </row>
    <row r="17" customFormat="false" ht="15" hidden="false" customHeight="false" outlineLevel="0" collapsed="false">
      <c r="A17" s="15" t="s">
        <v>64</v>
      </c>
      <c r="B17" s="19" t="s">
        <v>45</v>
      </c>
      <c r="C17" s="12" t="n">
        <v>1</v>
      </c>
      <c r="D17" s="16" t="n">
        <v>55000</v>
      </c>
      <c r="E17" s="15" t="s">
        <v>65</v>
      </c>
    </row>
    <row r="18" customFormat="false" ht="15" hidden="false" customHeight="false" outlineLevel="0" collapsed="false">
      <c r="A18" s="9" t="s">
        <v>56</v>
      </c>
      <c r="B18" s="19" t="s">
        <v>45</v>
      </c>
      <c r="C18" s="5" t="n">
        <v>3</v>
      </c>
      <c r="D18" s="10" t="n">
        <v>42460</v>
      </c>
      <c r="E18" s="7"/>
    </row>
    <row r="19" customFormat="false" ht="15" hidden="false" customHeight="false" outlineLevel="0" collapsed="false">
      <c r="A19" s="15" t="s">
        <v>34</v>
      </c>
      <c r="B19" s="18" t="s">
        <v>30</v>
      </c>
      <c r="C19" s="12" t="n">
        <v>1</v>
      </c>
      <c r="D19" s="16" t="n">
        <v>220000</v>
      </c>
      <c r="E19" s="15" t="s">
        <v>35</v>
      </c>
    </row>
    <row r="20" customFormat="false" ht="15" hidden="false" customHeight="false" outlineLevel="0" collapsed="false">
      <c r="A20" s="9" t="s">
        <v>39</v>
      </c>
      <c r="B20" s="18" t="s">
        <v>30</v>
      </c>
      <c r="C20" s="5" t="n">
        <v>1</v>
      </c>
      <c r="D20" s="10" t="n">
        <v>44000</v>
      </c>
      <c r="E20" s="9" t="s">
        <v>40</v>
      </c>
    </row>
    <row r="21" customFormat="false" ht="15" hidden="false" customHeight="false" outlineLevel="0" collapsed="false">
      <c r="A21" s="15" t="s">
        <v>31</v>
      </c>
      <c r="B21" s="18" t="s">
        <v>30</v>
      </c>
      <c r="C21" s="12" t="n">
        <v>1</v>
      </c>
      <c r="D21" s="16" t="n">
        <v>33000</v>
      </c>
      <c r="E21" s="15" t="s">
        <v>32</v>
      </c>
    </row>
    <row r="22" customFormat="false" ht="15" hidden="false" customHeight="false" outlineLevel="0" collapsed="false">
      <c r="A22" s="30" t="s">
        <v>71</v>
      </c>
      <c r="B22" s="37"/>
      <c r="C22" s="30" t="n">
        <f aca="false">SUM(C4:C21)</f>
        <v>20</v>
      </c>
      <c r="D22" s="21" t="n">
        <f aca="false">SUM(D4:D21)</f>
        <v>2111340</v>
      </c>
      <c r="E22" s="37"/>
    </row>
  </sheetData>
  <mergeCells count="1">
    <mergeCell ref="A1:E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</cols>
  <sheetData>
    <row r="1" customFormat="false" ht="30" hidden="false" customHeight="true" outlineLevel="0" collapsed="false">
      <c r="A1" s="22" t="s">
        <v>89</v>
      </c>
      <c r="B1" s="22"/>
      <c r="C1" s="22"/>
      <c r="D1" s="22"/>
      <c r="E1" s="22"/>
    </row>
    <row r="3" customFormat="false" ht="15" hidden="false" customHeight="false" outlineLevel="0" collapsed="false">
      <c r="A3" s="38" t="s">
        <v>90</v>
      </c>
      <c r="B3" s="38" t="s">
        <v>91</v>
      </c>
      <c r="C3" s="38" t="s">
        <v>92</v>
      </c>
      <c r="D3" s="38" t="s">
        <v>93</v>
      </c>
      <c r="E3" s="38" t="s">
        <v>94</v>
      </c>
    </row>
    <row r="4" customFormat="false" ht="15" hidden="false" customHeight="false" outlineLevel="0" collapsed="false">
      <c r="A4" s="39" t="s">
        <v>95</v>
      </c>
      <c r="B4" s="26" t="n">
        <f aca="false">SUMPRODUCT((MONTH(取引台帳!B5:B24)=1)*(取引台帳!D5:D24="仕入")*取引台帳!I5:I24)</f>
        <v>704000</v>
      </c>
      <c r="C4" s="26" t="n">
        <f aca="false">SUMPRODUCT((MONTH(取引台帳!B5:B24)=1)*(取引台帳!D5:D24="販売")*取引台帳!I5:I24)</f>
        <v>0</v>
      </c>
      <c r="D4" s="26" t="n">
        <f aca="false">SUMPRODUCT((MONTH(取引台帳!B5:B24)=1)*(取引台帳!D5:D24="経費")*取引台帳!I5:I24)</f>
        <v>0</v>
      </c>
      <c r="E4" s="26" t="n">
        <f aca="false">C4-B4-D4</f>
        <v>-704000</v>
      </c>
    </row>
    <row r="5" customFormat="false" ht="15" hidden="false" customHeight="false" outlineLevel="0" collapsed="false">
      <c r="A5" s="39" t="s">
        <v>96</v>
      </c>
      <c r="B5" s="26" t="n">
        <f aca="false">SUMPRODUCT((MONTH(取引台帳!B5:B24)=2)*(取引台帳!D5:D24="仕入")*取引台帳!I5:I24)</f>
        <v>378180</v>
      </c>
      <c r="C5" s="26" t="n">
        <f aca="false">SUMPRODUCT((MONTH(取引台帳!B5:B24)=2)*(取引台帳!D5:D24="販売")*取引台帳!I5:I24)</f>
        <v>732160</v>
      </c>
      <c r="D5" s="26" t="n">
        <f aca="false">SUMPRODUCT((MONTH(取引台帳!B5:B24)=2)*(取引台帳!D5:D24="経費")*取引台帳!I5:I24)</f>
        <v>297000</v>
      </c>
      <c r="E5" s="26" t="n">
        <f aca="false">C5-B5-D5</f>
        <v>56980</v>
      </c>
    </row>
    <row r="6" customFormat="false" ht="15" hidden="false" customHeight="false" outlineLevel="0" collapsed="false">
      <c r="A6" s="30" t="s">
        <v>71</v>
      </c>
      <c r="B6" s="21" t="n">
        <f aca="false">SUM(B4:B5)</f>
        <v>1082180</v>
      </c>
      <c r="C6" s="21" t="n">
        <f aca="false">SUM(C4:C5)</f>
        <v>732160</v>
      </c>
      <c r="D6" s="21" t="n">
        <f aca="false">SUM(D4:D5)</f>
        <v>297000</v>
      </c>
      <c r="E6" s="21" t="n">
        <f aca="false">SUM(E4:E5)</f>
        <v>-647020</v>
      </c>
    </row>
  </sheetData>
  <mergeCells count="1">
    <mergeCell ref="A1:E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30" hidden="false" customHeight="true" outlineLevel="0" collapsed="false">
      <c r="A1" s="22" t="s">
        <v>97</v>
      </c>
      <c r="B1" s="22"/>
      <c r="C1" s="22"/>
      <c r="D1" s="22"/>
    </row>
    <row r="3" customFormat="false" ht="15" hidden="false" customHeight="false" outlineLevel="0" collapsed="false">
      <c r="A3" s="40" t="s">
        <v>98</v>
      </c>
      <c r="B3" s="40" t="s">
        <v>8</v>
      </c>
      <c r="C3" s="40" t="s">
        <v>99</v>
      </c>
      <c r="D3" s="40" t="s">
        <v>10</v>
      </c>
    </row>
    <row r="4" customFormat="false" ht="15" hidden="false" customHeight="false" outlineLevel="0" collapsed="false">
      <c r="A4" s="33" t="s">
        <v>100</v>
      </c>
      <c r="B4" s="26" t="n">
        <f aca="false">区分別集計!C5</f>
        <v>665600</v>
      </c>
      <c r="C4" s="26" t="n">
        <f aca="false">区分別集計!D5</f>
        <v>66560</v>
      </c>
      <c r="D4" s="26" t="n">
        <f aca="false">区分別集計!E5</f>
        <v>732160</v>
      </c>
    </row>
    <row r="5" customFormat="false" ht="15" hidden="false" customHeight="false" outlineLevel="0" collapsed="false">
      <c r="A5" s="33" t="s">
        <v>101</v>
      </c>
      <c r="B5" s="26" t="n">
        <f aca="false">区分別集計!C4</f>
        <v>983800</v>
      </c>
      <c r="C5" s="26" t="n">
        <f aca="false">区分別集計!D4</f>
        <v>98380</v>
      </c>
      <c r="D5" s="26" t="n">
        <f aca="false">区分別集計!E4</f>
        <v>1082180</v>
      </c>
    </row>
    <row r="6" customFormat="false" ht="15" hidden="false" customHeight="false" outlineLevel="0" collapsed="false">
      <c r="A6" s="33" t="s">
        <v>102</v>
      </c>
      <c r="B6" s="26" t="n">
        <f aca="false">区分別集計!C6</f>
        <v>270000</v>
      </c>
      <c r="C6" s="26" t="n">
        <f aca="false">区分別集計!D6</f>
        <v>27000</v>
      </c>
      <c r="D6" s="26" t="n">
        <f aca="false">区分別集計!E6</f>
        <v>297000</v>
      </c>
    </row>
    <row r="8" customFormat="false" ht="15" hidden="false" customHeight="false" outlineLevel="0" collapsed="false">
      <c r="A8" s="34" t="s">
        <v>103</v>
      </c>
      <c r="B8" s="41"/>
      <c r="C8" s="42" t="n">
        <f aca="false">C4-C5-C6</f>
        <v>-58820</v>
      </c>
      <c r="D8" s="41"/>
    </row>
  </sheetData>
  <mergeCells count="1">
    <mergeCell ref="A1:D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2026-02-12T00:57:52Z</dcterms:created>
  <dc:creator>openpyxl</dc:creator>
  <dc:description/>
  <dc:language>en-US</dc:language>
  <cp:lastModifiedBy/>
  <dcterms:modified xsi:type="dcterms:W3CDTF">2026-02-12T00:57:52Z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